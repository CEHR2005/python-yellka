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<sst xmlns="http://schemas.openxmlformats.org/spreadsheetml/2006/main" count="2" uniqueCount="2">
  <si>
    <t>Штука</t>
  </si>
  <si>
    <t>Колв тасок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</si>
</sst>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>
        <v>0.2</v>
      </c>
      <c r="D2" s="1">
        <v>0.1</v>
      </c>
      <c r="E2" s="2">
        <f t="shared" ref="E2:E11" si="1">D2*5</f>
        <v>0.5</v>
      </c>
      <c r="G2" s="1">
        <v>1.0</v>
      </c>
      <c r="H2" s="2">
        <f>G2*10</f>
        <v>10</v>
      </c>
    </row>
    <row r="3">
      <c r="A3" s="2">
        <f t="shared" ref="A3:A198" si="2">A2+0.05</f>
        <v>0.25</v>
      </c>
      <c r="B3" s="2">
        <f t="shared" ref="B3:B14" si="3">A2*8</f>
        <v>1.6</v>
      </c>
      <c r="D3" s="2">
        <f t="shared" ref="D3:D11" si="4">D2+0.1</f>
        <v>0.2</v>
      </c>
      <c r="E3" s="2">
        <f t="shared" si="1"/>
        <v>1</v>
      </c>
      <c r="G3" s="2">
        <f>G2*10</f>
        <v>10</v>
      </c>
    </row>
    <row r="4">
      <c r="A4" s="2">
        <f t="shared" si="2"/>
        <v>0.3</v>
      </c>
      <c r="B4" s="2">
        <f t="shared" si="3"/>
        <v>2</v>
      </c>
      <c r="D4" s="2">
        <f t="shared" si="4"/>
        <v>0.3</v>
      </c>
      <c r="E4" s="2">
        <f t="shared" si="1"/>
        <v>1.5</v>
      </c>
      <c r="L4" s="1">
        <v>2.2</v>
      </c>
    </row>
    <row r="5">
      <c r="A5" s="2">
        <f t="shared" si="2"/>
        <v>0.35</v>
      </c>
      <c r="B5" s="2">
        <f t="shared" si="3"/>
        <v>2.4</v>
      </c>
      <c r="D5" s="2">
        <f t="shared" si="4"/>
        <v>0.4</v>
      </c>
      <c r="E5" s="2">
        <f t="shared" si="1"/>
        <v>2</v>
      </c>
      <c r="J5" s="1">
        <v>3.0</v>
      </c>
      <c r="K5" s="1">
        <v>2.1</v>
      </c>
      <c r="L5" s="2">
        <f t="shared" ref="L5:L18" si="5">2.2-K5</f>
        <v>0.1</v>
      </c>
      <c r="M5" s="2">
        <f t="shared" ref="M5:M18" si="6">L5*J5</f>
        <v>0.3</v>
      </c>
    </row>
    <row r="6">
      <c r="A6" s="2">
        <f t="shared" si="2"/>
        <v>0.4</v>
      </c>
      <c r="B6" s="2">
        <f t="shared" si="3"/>
        <v>2.8</v>
      </c>
      <c r="D6" s="2">
        <f t="shared" si="4"/>
        <v>0.5</v>
      </c>
      <c r="E6" s="2">
        <f t="shared" si="1"/>
        <v>2.5</v>
      </c>
      <c r="J6" s="1">
        <v>2.0</v>
      </c>
      <c r="K6" s="1">
        <v>2.0</v>
      </c>
      <c r="L6" s="2">
        <f t="shared" si="5"/>
        <v>0.2</v>
      </c>
      <c r="M6" s="2">
        <f t="shared" si="6"/>
        <v>0.4</v>
      </c>
    </row>
    <row r="7">
      <c r="A7" s="2">
        <f t="shared" si="2"/>
        <v>0.45</v>
      </c>
      <c r="B7" s="2">
        <f t="shared" si="3"/>
        <v>3.2</v>
      </c>
      <c r="D7" s="2">
        <f t="shared" si="4"/>
        <v>0.6</v>
      </c>
      <c r="E7" s="2">
        <f t="shared" si="1"/>
        <v>3</v>
      </c>
      <c r="J7" s="1">
        <v>3.0</v>
      </c>
      <c r="K7" s="1">
        <v>1.9</v>
      </c>
      <c r="L7" s="2">
        <f t="shared" si="5"/>
        <v>0.3</v>
      </c>
      <c r="M7" s="2">
        <f t="shared" si="6"/>
        <v>0.9</v>
      </c>
    </row>
    <row r="8">
      <c r="A8" s="2">
        <f t="shared" si="2"/>
        <v>0.5</v>
      </c>
      <c r="B8" s="2">
        <f t="shared" si="3"/>
        <v>3.6</v>
      </c>
      <c r="D8" s="2">
        <f t="shared" si="4"/>
        <v>0.7</v>
      </c>
      <c r="E8" s="2">
        <f t="shared" si="1"/>
        <v>3.5</v>
      </c>
      <c r="J8" s="1">
        <v>2.0</v>
      </c>
      <c r="K8" s="1">
        <v>1.8</v>
      </c>
      <c r="L8" s="2">
        <f t="shared" si="5"/>
        <v>0.4</v>
      </c>
      <c r="M8" s="2">
        <f t="shared" si="6"/>
        <v>0.8</v>
      </c>
    </row>
    <row r="9">
      <c r="A9" s="2">
        <f t="shared" si="2"/>
        <v>0.55</v>
      </c>
      <c r="B9" s="2">
        <f t="shared" si="3"/>
        <v>4</v>
      </c>
      <c r="D9" s="2">
        <f t="shared" si="4"/>
        <v>0.8</v>
      </c>
      <c r="E9" s="2">
        <f t="shared" si="1"/>
        <v>4</v>
      </c>
      <c r="J9" s="1">
        <v>2.0</v>
      </c>
      <c r="K9" s="1">
        <v>1.6</v>
      </c>
      <c r="L9" s="2">
        <f t="shared" si="5"/>
        <v>0.6</v>
      </c>
      <c r="M9" s="2">
        <f t="shared" si="6"/>
        <v>1.2</v>
      </c>
    </row>
    <row r="10">
      <c r="A10" s="2">
        <f t="shared" si="2"/>
        <v>0.6</v>
      </c>
      <c r="B10" s="2">
        <f t="shared" si="3"/>
        <v>4.4</v>
      </c>
      <c r="C10" s="2">
        <f>SUM(B3:B36)</f>
        <v>220.5</v>
      </c>
      <c r="D10" s="2">
        <f t="shared" si="4"/>
        <v>0.9</v>
      </c>
      <c r="E10" s="2">
        <f t="shared" si="1"/>
        <v>4.5</v>
      </c>
      <c r="J10" s="1">
        <v>3.0</v>
      </c>
      <c r="K10" s="1">
        <v>1.5</v>
      </c>
      <c r="L10" s="2">
        <f t="shared" si="5"/>
        <v>0.7</v>
      </c>
      <c r="M10" s="2">
        <f t="shared" si="6"/>
        <v>2.1</v>
      </c>
    </row>
    <row r="11">
      <c r="A11" s="2">
        <f t="shared" si="2"/>
        <v>0.65</v>
      </c>
      <c r="B11" s="2">
        <f t="shared" si="3"/>
        <v>4.8</v>
      </c>
      <c r="C11" s="2">
        <f t="shared" ref="C11:C18" si="7">A11*2</f>
        <v>1.3</v>
      </c>
      <c r="D11" s="2">
        <f t="shared" si="4"/>
        <v>1</v>
      </c>
      <c r="E11" s="2">
        <f t="shared" si="1"/>
        <v>5</v>
      </c>
      <c r="J11" s="1">
        <v>2.0</v>
      </c>
      <c r="K11" s="1">
        <v>1.4</v>
      </c>
      <c r="L11" s="2">
        <f t="shared" si="5"/>
        <v>0.8</v>
      </c>
      <c r="M11" s="2">
        <f t="shared" si="6"/>
        <v>1.6</v>
      </c>
    </row>
    <row r="12">
      <c r="A12" s="2">
        <f t="shared" si="2"/>
        <v>0.7</v>
      </c>
      <c r="B12" s="2">
        <f t="shared" si="3"/>
        <v>5.2</v>
      </c>
      <c r="C12" s="2">
        <f t="shared" si="7"/>
        <v>1.4</v>
      </c>
      <c r="E12" s="2">
        <f>SUM(E2:E11)</f>
        <v>27.5</v>
      </c>
      <c r="J12" s="1">
        <v>5.0</v>
      </c>
      <c r="K12" s="1">
        <v>1.3</v>
      </c>
      <c r="L12" s="2">
        <f t="shared" si="5"/>
        <v>0.9</v>
      </c>
      <c r="M12" s="2">
        <f t="shared" si="6"/>
        <v>4.5</v>
      </c>
    </row>
    <row r="13">
      <c r="A13" s="2">
        <f t="shared" si="2"/>
        <v>0.75</v>
      </c>
      <c r="B13" s="2">
        <f t="shared" si="3"/>
        <v>5.6</v>
      </c>
      <c r="C13" s="2">
        <f t="shared" si="7"/>
        <v>1.5</v>
      </c>
      <c r="D13" s="1">
        <v>20.0</v>
      </c>
      <c r="E13" s="2">
        <f>C10+E12+D13</f>
        <v>268</v>
      </c>
      <c r="F13" s="2">
        <f>E13/20</f>
        <v>13.4</v>
      </c>
      <c r="J13" s="1">
        <v>5.0</v>
      </c>
      <c r="K13" s="1">
        <v>1.2</v>
      </c>
      <c r="L13" s="2">
        <f t="shared" si="5"/>
        <v>1</v>
      </c>
      <c r="M13" s="2">
        <f t="shared" si="6"/>
        <v>5</v>
      </c>
    </row>
    <row r="14">
      <c r="A14" s="2">
        <f t="shared" si="2"/>
        <v>0.8</v>
      </c>
      <c r="B14" s="2">
        <f t="shared" si="3"/>
        <v>6</v>
      </c>
      <c r="C14" s="2">
        <f t="shared" si="7"/>
        <v>1.6</v>
      </c>
      <c r="J14" s="1">
        <v>5.0</v>
      </c>
      <c r="K14" s="1">
        <v>1.08</v>
      </c>
      <c r="L14" s="2">
        <f t="shared" si="5"/>
        <v>1.12</v>
      </c>
      <c r="M14" s="2">
        <f t="shared" si="6"/>
        <v>5.6</v>
      </c>
    </row>
    <row r="15">
      <c r="A15" s="2">
        <f t="shared" si="2"/>
        <v>0.85</v>
      </c>
      <c r="B15" s="2">
        <f t="shared" ref="B15:B198" si="8">A14*8*0.75</f>
        <v>4.8</v>
      </c>
      <c r="C15" s="2">
        <f t="shared" si="7"/>
        <v>1.7</v>
      </c>
      <c r="J15" s="1">
        <v>3.0</v>
      </c>
      <c r="K15" s="1">
        <v>1.02</v>
      </c>
      <c r="L15" s="2">
        <f t="shared" si="5"/>
        <v>1.18</v>
      </c>
      <c r="M15" s="2">
        <f t="shared" si="6"/>
        <v>3.54</v>
      </c>
    </row>
    <row r="16">
      <c r="A16" s="2">
        <f t="shared" si="2"/>
        <v>0.9</v>
      </c>
      <c r="B16" s="2">
        <f t="shared" si="8"/>
        <v>5.1</v>
      </c>
      <c r="C16" s="2">
        <f t="shared" si="7"/>
        <v>1.8</v>
      </c>
      <c r="J16" s="1">
        <v>4.0</v>
      </c>
      <c r="K16" s="1">
        <v>0.96</v>
      </c>
      <c r="L16" s="2">
        <f t="shared" si="5"/>
        <v>1.24</v>
      </c>
      <c r="M16" s="2">
        <f t="shared" si="6"/>
        <v>4.96</v>
      </c>
    </row>
    <row r="17">
      <c r="A17" s="2">
        <f t="shared" si="2"/>
        <v>0.95</v>
      </c>
      <c r="B17" s="2">
        <f t="shared" si="8"/>
        <v>5.4</v>
      </c>
      <c r="C17" s="2">
        <f t="shared" si="7"/>
        <v>1.9</v>
      </c>
      <c r="J17" s="1">
        <v>5.0</v>
      </c>
      <c r="K17" s="1">
        <v>0.825</v>
      </c>
      <c r="L17" s="2">
        <f t="shared" si="5"/>
        <v>1.375</v>
      </c>
      <c r="M17" s="2">
        <f t="shared" si="6"/>
        <v>6.875</v>
      </c>
    </row>
    <row r="18">
      <c r="A18" s="2">
        <f t="shared" si="2"/>
        <v>1</v>
      </c>
      <c r="B18" s="2">
        <f t="shared" si="8"/>
        <v>5.7</v>
      </c>
      <c r="C18" s="2">
        <f t="shared" si="7"/>
        <v>2</v>
      </c>
      <c r="J18" s="1">
        <v>3.0</v>
      </c>
      <c r="K18" s="1">
        <v>0.77</v>
      </c>
      <c r="L18" s="2">
        <f t="shared" si="5"/>
        <v>1.43</v>
      </c>
      <c r="M18" s="2">
        <f t="shared" si="6"/>
        <v>4.29</v>
      </c>
    </row>
    <row r="19">
      <c r="A19" s="2">
        <f t="shared" si="2"/>
        <v>1.05</v>
      </c>
      <c r="B19" s="2">
        <f t="shared" si="8"/>
        <v>6</v>
      </c>
      <c r="C19" s="2">
        <f>B19-(E19*0.1)</f>
        <v>0.9</v>
      </c>
      <c r="D19" s="1" t="s">
        <v>1</v>
      </c>
      <c r="E19" s="1">
        <v>51.0</v>
      </c>
      <c r="J19" s="2">
        <f>SUM(J5:J18)</f>
        <v>47</v>
      </c>
      <c r="M19" s="2">
        <f>SUM(M5:M18)</f>
        <v>42.065</v>
      </c>
    </row>
    <row r="20">
      <c r="A20" s="2">
        <f t="shared" si="2"/>
        <v>1.1</v>
      </c>
      <c r="B20" s="2">
        <f t="shared" si="8"/>
        <v>6.3</v>
      </c>
      <c r="C20" s="2">
        <f t="shared" ref="C20:C198" si="9">B20-($E$19*0.1)</f>
        <v>1.2</v>
      </c>
      <c r="D20" s="2">
        <f t="shared" ref="D20:D198" si="10">C20/(A20*2)</f>
        <v>0.5454545455</v>
      </c>
      <c r="E20" s="2">
        <f>SUM(D20:D38)/1.5</f>
        <v>15.20536397</v>
      </c>
    </row>
    <row r="21">
      <c r="A21" s="2">
        <f t="shared" si="2"/>
        <v>1.15</v>
      </c>
      <c r="B21" s="2">
        <f t="shared" si="8"/>
        <v>6.6</v>
      </c>
      <c r="C21" s="2">
        <f t="shared" si="9"/>
        <v>1.5</v>
      </c>
      <c r="D21" s="2">
        <f t="shared" si="10"/>
        <v>0.652173913</v>
      </c>
      <c r="E21" s="2">
        <f>SUM(B31:B32)</f>
        <v>19.5</v>
      </c>
    </row>
    <row r="22">
      <c r="A22" s="2">
        <f t="shared" si="2"/>
        <v>1.2</v>
      </c>
      <c r="B22" s="2">
        <f t="shared" si="8"/>
        <v>6.9</v>
      </c>
      <c r="C22" s="2">
        <f t="shared" si="9"/>
        <v>1.8</v>
      </c>
      <c r="D22" s="2">
        <f t="shared" si="10"/>
        <v>0.75</v>
      </c>
    </row>
    <row r="23">
      <c r="A23" s="2">
        <f t="shared" si="2"/>
        <v>1.25</v>
      </c>
      <c r="B23" s="2">
        <f t="shared" si="8"/>
        <v>7.2</v>
      </c>
      <c r="C23" s="2">
        <f t="shared" si="9"/>
        <v>2.1</v>
      </c>
      <c r="D23" s="2">
        <f t="shared" si="10"/>
        <v>0.84</v>
      </c>
    </row>
    <row r="24">
      <c r="A24" s="2">
        <f t="shared" si="2"/>
        <v>1.3</v>
      </c>
      <c r="B24" s="2">
        <f t="shared" si="8"/>
        <v>7.5</v>
      </c>
      <c r="C24" s="2">
        <f t="shared" si="9"/>
        <v>2.4</v>
      </c>
      <c r="D24" s="2">
        <f t="shared" si="10"/>
        <v>0.9230769231</v>
      </c>
    </row>
    <row r="25">
      <c r="A25" s="2">
        <f t="shared" si="2"/>
        <v>1.35</v>
      </c>
      <c r="B25" s="2">
        <f t="shared" si="8"/>
        <v>7.8</v>
      </c>
      <c r="C25" s="2">
        <f t="shared" si="9"/>
        <v>2.7</v>
      </c>
      <c r="D25" s="2">
        <f t="shared" si="10"/>
        <v>1</v>
      </c>
    </row>
    <row r="26">
      <c r="A26" s="2">
        <f t="shared" si="2"/>
        <v>1.4</v>
      </c>
      <c r="B26" s="2">
        <f t="shared" si="8"/>
        <v>8.1</v>
      </c>
      <c r="C26" s="2">
        <f t="shared" si="9"/>
        <v>3</v>
      </c>
      <c r="D26" s="2">
        <f t="shared" si="10"/>
        <v>1.071428571</v>
      </c>
    </row>
    <row r="27">
      <c r="A27" s="2">
        <f t="shared" si="2"/>
        <v>1.45</v>
      </c>
      <c r="B27" s="2">
        <f t="shared" si="8"/>
        <v>8.4</v>
      </c>
      <c r="C27" s="2">
        <f t="shared" si="9"/>
        <v>3.3</v>
      </c>
      <c r="D27" s="2">
        <f t="shared" si="10"/>
        <v>1.137931034</v>
      </c>
    </row>
    <row r="28">
      <c r="A28" s="2">
        <f t="shared" si="2"/>
        <v>1.5</v>
      </c>
      <c r="B28" s="2">
        <f t="shared" si="8"/>
        <v>8.7</v>
      </c>
      <c r="C28" s="2">
        <f t="shared" si="9"/>
        <v>3.6</v>
      </c>
      <c r="D28" s="2">
        <f t="shared" si="10"/>
        <v>1.2</v>
      </c>
    </row>
    <row r="29">
      <c r="A29" s="2">
        <f t="shared" si="2"/>
        <v>1.55</v>
      </c>
      <c r="B29" s="2">
        <f t="shared" si="8"/>
        <v>9</v>
      </c>
      <c r="C29" s="2">
        <f t="shared" si="9"/>
        <v>3.9</v>
      </c>
      <c r="D29" s="2">
        <f t="shared" si="10"/>
        <v>1.258064516</v>
      </c>
    </row>
    <row r="30">
      <c r="A30" s="2">
        <f t="shared" si="2"/>
        <v>1.6</v>
      </c>
      <c r="B30" s="2">
        <f t="shared" si="8"/>
        <v>9.3</v>
      </c>
      <c r="C30" s="2">
        <f t="shared" si="9"/>
        <v>4.2</v>
      </c>
      <c r="D30" s="2">
        <f t="shared" si="10"/>
        <v>1.3125</v>
      </c>
    </row>
    <row r="31">
      <c r="A31" s="2">
        <f t="shared" si="2"/>
        <v>1.65</v>
      </c>
      <c r="B31" s="2">
        <f t="shared" si="8"/>
        <v>9.6</v>
      </c>
      <c r="C31" s="2">
        <f t="shared" si="9"/>
        <v>4.5</v>
      </c>
      <c r="D31" s="2">
        <f t="shared" si="10"/>
        <v>1.363636364</v>
      </c>
    </row>
    <row r="32">
      <c r="A32" s="2">
        <f t="shared" si="2"/>
        <v>1.7</v>
      </c>
      <c r="B32" s="2">
        <f t="shared" si="8"/>
        <v>9.9</v>
      </c>
      <c r="C32" s="2">
        <f t="shared" si="9"/>
        <v>4.8</v>
      </c>
      <c r="D32" s="2">
        <f t="shared" si="10"/>
        <v>1.411764706</v>
      </c>
    </row>
    <row r="33">
      <c r="A33" s="2">
        <f t="shared" si="2"/>
        <v>1.75</v>
      </c>
      <c r="B33" s="2">
        <f t="shared" si="8"/>
        <v>10.2</v>
      </c>
      <c r="C33" s="2">
        <f t="shared" si="9"/>
        <v>5.1</v>
      </c>
      <c r="D33" s="2">
        <f t="shared" si="10"/>
        <v>1.457142857</v>
      </c>
    </row>
    <row r="34">
      <c r="A34" s="2">
        <f t="shared" si="2"/>
        <v>1.8</v>
      </c>
      <c r="B34" s="2">
        <f t="shared" si="8"/>
        <v>10.5</v>
      </c>
      <c r="C34" s="2">
        <f t="shared" si="9"/>
        <v>5.4</v>
      </c>
      <c r="D34" s="2">
        <f t="shared" si="10"/>
        <v>1.5</v>
      </c>
    </row>
    <row r="35">
      <c r="A35" s="2">
        <f t="shared" si="2"/>
        <v>1.85</v>
      </c>
      <c r="B35" s="2">
        <f t="shared" si="8"/>
        <v>10.8</v>
      </c>
      <c r="C35" s="2">
        <f t="shared" si="9"/>
        <v>5.7</v>
      </c>
      <c r="D35" s="2">
        <f t="shared" si="10"/>
        <v>1.540540541</v>
      </c>
    </row>
    <row r="36">
      <c r="A36" s="2">
        <f t="shared" si="2"/>
        <v>1.9</v>
      </c>
      <c r="B36" s="2">
        <f t="shared" si="8"/>
        <v>11.1</v>
      </c>
      <c r="C36" s="2">
        <f t="shared" si="9"/>
        <v>6</v>
      </c>
      <c r="D36" s="2">
        <f t="shared" si="10"/>
        <v>1.578947368</v>
      </c>
    </row>
    <row r="37">
      <c r="A37" s="2">
        <f t="shared" si="2"/>
        <v>1.95</v>
      </c>
      <c r="B37" s="3">
        <f t="shared" si="8"/>
        <v>11.4</v>
      </c>
      <c r="C37" s="2">
        <f t="shared" si="9"/>
        <v>6.3</v>
      </c>
      <c r="D37" s="2">
        <f t="shared" si="10"/>
        <v>1.615384615</v>
      </c>
    </row>
    <row r="38">
      <c r="A38" s="2">
        <f t="shared" si="2"/>
        <v>2</v>
      </c>
      <c r="B38" s="3">
        <f t="shared" si="8"/>
        <v>11.7</v>
      </c>
      <c r="C38" s="2">
        <f t="shared" si="9"/>
        <v>6.6</v>
      </c>
      <c r="D38" s="2">
        <f t="shared" si="10"/>
        <v>1.65</v>
      </c>
    </row>
    <row r="39">
      <c r="A39" s="2">
        <f t="shared" si="2"/>
        <v>2.05</v>
      </c>
      <c r="B39" s="3">
        <f t="shared" si="8"/>
        <v>12</v>
      </c>
      <c r="C39" s="2">
        <f t="shared" si="9"/>
        <v>6.9</v>
      </c>
      <c r="D39" s="2">
        <f t="shared" si="10"/>
        <v>1.682926829</v>
      </c>
    </row>
    <row r="40">
      <c r="A40" s="2">
        <f t="shared" si="2"/>
        <v>2.1</v>
      </c>
      <c r="B40" s="3">
        <f t="shared" si="8"/>
        <v>12.3</v>
      </c>
      <c r="C40" s="2">
        <f t="shared" si="9"/>
        <v>7.2</v>
      </c>
      <c r="D40" s="2">
        <f t="shared" si="10"/>
        <v>1.714285714</v>
      </c>
    </row>
    <row r="41">
      <c r="A41" s="2">
        <f t="shared" si="2"/>
        <v>2.15</v>
      </c>
      <c r="B41" s="3">
        <f t="shared" si="8"/>
        <v>12.6</v>
      </c>
      <c r="C41" s="2">
        <f t="shared" si="9"/>
        <v>7.5</v>
      </c>
      <c r="D41" s="2">
        <f t="shared" si="10"/>
        <v>1.744186047</v>
      </c>
    </row>
    <row r="42">
      <c r="A42" s="2">
        <f t="shared" si="2"/>
        <v>2.2</v>
      </c>
      <c r="B42" s="3">
        <f t="shared" si="8"/>
        <v>12.9</v>
      </c>
      <c r="C42" s="2">
        <f t="shared" si="9"/>
        <v>7.8</v>
      </c>
      <c r="D42" s="2">
        <f t="shared" si="10"/>
        <v>1.772727273</v>
      </c>
    </row>
    <row r="43">
      <c r="A43" s="2">
        <f t="shared" si="2"/>
        <v>2.25</v>
      </c>
      <c r="B43" s="3">
        <f t="shared" si="8"/>
        <v>13.2</v>
      </c>
      <c r="C43" s="2">
        <f t="shared" si="9"/>
        <v>8.1</v>
      </c>
      <c r="D43" s="2">
        <f t="shared" si="10"/>
        <v>1.8</v>
      </c>
    </row>
    <row r="44">
      <c r="A44" s="2">
        <f t="shared" si="2"/>
        <v>2.3</v>
      </c>
      <c r="B44" s="3">
        <f t="shared" si="8"/>
        <v>13.5</v>
      </c>
      <c r="C44" s="2">
        <f t="shared" si="9"/>
        <v>8.4</v>
      </c>
      <c r="D44" s="2">
        <f t="shared" si="10"/>
        <v>1.826086957</v>
      </c>
    </row>
    <row r="45">
      <c r="A45" s="2">
        <f t="shared" si="2"/>
        <v>2.35</v>
      </c>
      <c r="B45" s="3">
        <f t="shared" si="8"/>
        <v>13.8</v>
      </c>
      <c r="C45" s="2">
        <f t="shared" si="9"/>
        <v>8.7</v>
      </c>
      <c r="D45" s="2">
        <f t="shared" si="10"/>
        <v>1.85106383</v>
      </c>
    </row>
    <row r="46">
      <c r="A46" s="2">
        <f t="shared" si="2"/>
        <v>2.4</v>
      </c>
      <c r="B46" s="3">
        <f t="shared" si="8"/>
        <v>14.1</v>
      </c>
      <c r="C46" s="2">
        <f t="shared" si="9"/>
        <v>9</v>
      </c>
      <c r="D46" s="2">
        <f t="shared" si="10"/>
        <v>1.875</v>
      </c>
    </row>
    <row r="47">
      <c r="A47" s="2">
        <f t="shared" si="2"/>
        <v>2.45</v>
      </c>
      <c r="B47" s="3">
        <f t="shared" si="8"/>
        <v>14.4</v>
      </c>
      <c r="C47" s="2">
        <f t="shared" si="9"/>
        <v>9.3</v>
      </c>
      <c r="D47" s="2">
        <f t="shared" si="10"/>
        <v>1.897959184</v>
      </c>
    </row>
    <row r="48">
      <c r="A48" s="2">
        <f t="shared" si="2"/>
        <v>2.5</v>
      </c>
      <c r="B48" s="3">
        <f t="shared" si="8"/>
        <v>14.7</v>
      </c>
      <c r="C48" s="2">
        <f t="shared" si="9"/>
        <v>9.6</v>
      </c>
      <c r="D48" s="2">
        <f t="shared" si="10"/>
        <v>1.92</v>
      </c>
    </row>
    <row r="49">
      <c r="A49" s="2">
        <f t="shared" si="2"/>
        <v>2.55</v>
      </c>
      <c r="B49" s="3">
        <f t="shared" si="8"/>
        <v>15</v>
      </c>
      <c r="C49" s="2">
        <f t="shared" si="9"/>
        <v>9.9</v>
      </c>
      <c r="D49" s="2">
        <f t="shared" si="10"/>
        <v>1.941176471</v>
      </c>
    </row>
    <row r="50">
      <c r="A50" s="2">
        <f t="shared" si="2"/>
        <v>2.6</v>
      </c>
      <c r="B50" s="3">
        <f t="shared" si="8"/>
        <v>15.3</v>
      </c>
      <c r="C50" s="2">
        <f t="shared" si="9"/>
        <v>10.2</v>
      </c>
      <c r="D50" s="2">
        <f t="shared" si="10"/>
        <v>1.961538462</v>
      </c>
    </row>
    <row r="51">
      <c r="A51" s="2">
        <f t="shared" si="2"/>
        <v>2.65</v>
      </c>
      <c r="B51" s="3">
        <f t="shared" si="8"/>
        <v>15.6</v>
      </c>
      <c r="C51" s="2">
        <f t="shared" si="9"/>
        <v>10.5</v>
      </c>
      <c r="D51" s="2">
        <f t="shared" si="10"/>
        <v>1.981132075</v>
      </c>
    </row>
    <row r="52">
      <c r="A52" s="2">
        <f t="shared" si="2"/>
        <v>2.7</v>
      </c>
      <c r="B52" s="3">
        <f t="shared" si="8"/>
        <v>15.9</v>
      </c>
      <c r="C52" s="2">
        <f t="shared" si="9"/>
        <v>10.8</v>
      </c>
      <c r="D52" s="2">
        <f t="shared" si="10"/>
        <v>2</v>
      </c>
    </row>
    <row r="53">
      <c r="A53" s="2">
        <f t="shared" si="2"/>
        <v>2.75</v>
      </c>
      <c r="B53" s="3">
        <f t="shared" si="8"/>
        <v>16.2</v>
      </c>
      <c r="C53" s="2">
        <f t="shared" si="9"/>
        <v>11.1</v>
      </c>
      <c r="D53" s="2">
        <f t="shared" si="10"/>
        <v>2.018181818</v>
      </c>
    </row>
    <row r="54">
      <c r="A54" s="2">
        <f t="shared" si="2"/>
        <v>2.8</v>
      </c>
      <c r="B54" s="3">
        <f t="shared" si="8"/>
        <v>16.5</v>
      </c>
      <c r="C54" s="2">
        <f t="shared" si="9"/>
        <v>11.4</v>
      </c>
      <c r="D54" s="2">
        <f t="shared" si="10"/>
        <v>2.035714286</v>
      </c>
    </row>
    <row r="55">
      <c r="A55" s="2">
        <f t="shared" si="2"/>
        <v>2.85</v>
      </c>
      <c r="B55" s="3">
        <f t="shared" si="8"/>
        <v>16.8</v>
      </c>
      <c r="C55" s="2">
        <f t="shared" si="9"/>
        <v>11.7</v>
      </c>
      <c r="D55" s="2">
        <f t="shared" si="10"/>
        <v>2.052631579</v>
      </c>
    </row>
    <row r="56">
      <c r="A56" s="2">
        <f t="shared" si="2"/>
        <v>2.9</v>
      </c>
      <c r="B56" s="3">
        <f t="shared" si="8"/>
        <v>17.1</v>
      </c>
      <c r="C56" s="2">
        <f t="shared" si="9"/>
        <v>12</v>
      </c>
      <c r="D56" s="2">
        <f t="shared" si="10"/>
        <v>2.068965517</v>
      </c>
    </row>
    <row r="57">
      <c r="A57" s="2">
        <f t="shared" si="2"/>
        <v>2.95</v>
      </c>
      <c r="B57" s="3">
        <f t="shared" si="8"/>
        <v>17.4</v>
      </c>
      <c r="C57" s="2">
        <f t="shared" si="9"/>
        <v>12.3</v>
      </c>
      <c r="D57" s="2">
        <f t="shared" si="10"/>
        <v>2.084745763</v>
      </c>
    </row>
    <row r="58">
      <c r="A58" s="2">
        <f t="shared" si="2"/>
        <v>3</v>
      </c>
      <c r="B58" s="3">
        <f t="shared" si="8"/>
        <v>17.7</v>
      </c>
      <c r="C58" s="2">
        <f t="shared" si="9"/>
        <v>12.6</v>
      </c>
      <c r="D58" s="2">
        <f t="shared" si="10"/>
        <v>2.1</v>
      </c>
    </row>
    <row r="59">
      <c r="A59" s="2">
        <f t="shared" si="2"/>
        <v>3.05</v>
      </c>
      <c r="B59" s="3">
        <f t="shared" si="8"/>
        <v>18</v>
      </c>
      <c r="C59" s="2">
        <f t="shared" si="9"/>
        <v>12.9</v>
      </c>
      <c r="D59" s="2">
        <f t="shared" si="10"/>
        <v>2.114754098</v>
      </c>
    </row>
    <row r="60">
      <c r="A60" s="2">
        <f t="shared" si="2"/>
        <v>3.1</v>
      </c>
      <c r="B60" s="3">
        <f t="shared" si="8"/>
        <v>18.3</v>
      </c>
      <c r="C60" s="2">
        <f t="shared" si="9"/>
        <v>13.2</v>
      </c>
      <c r="D60" s="2">
        <f t="shared" si="10"/>
        <v>2.129032258</v>
      </c>
    </row>
    <row r="61">
      <c r="A61" s="2">
        <f t="shared" si="2"/>
        <v>3.15</v>
      </c>
      <c r="B61" s="3">
        <f t="shared" si="8"/>
        <v>18.6</v>
      </c>
      <c r="C61" s="2">
        <f t="shared" si="9"/>
        <v>13.5</v>
      </c>
      <c r="D61" s="2">
        <f t="shared" si="10"/>
        <v>2.142857143</v>
      </c>
    </row>
    <row r="62">
      <c r="A62" s="2">
        <f t="shared" si="2"/>
        <v>3.2</v>
      </c>
      <c r="B62" s="3">
        <f t="shared" si="8"/>
        <v>18.9</v>
      </c>
      <c r="C62" s="2">
        <f t="shared" si="9"/>
        <v>13.8</v>
      </c>
      <c r="D62" s="2">
        <f t="shared" si="10"/>
        <v>2.15625</v>
      </c>
    </row>
    <row r="63">
      <c r="A63" s="2">
        <f t="shared" si="2"/>
        <v>3.25</v>
      </c>
      <c r="B63" s="3">
        <f t="shared" si="8"/>
        <v>19.2</v>
      </c>
      <c r="C63" s="2">
        <f t="shared" si="9"/>
        <v>14.1</v>
      </c>
      <c r="D63" s="2">
        <f t="shared" si="10"/>
        <v>2.169230769</v>
      </c>
    </row>
    <row r="64">
      <c r="A64" s="2">
        <f t="shared" si="2"/>
        <v>3.3</v>
      </c>
      <c r="B64" s="3">
        <f t="shared" si="8"/>
        <v>19.5</v>
      </c>
      <c r="C64" s="2">
        <f t="shared" si="9"/>
        <v>14.4</v>
      </c>
      <c r="D64" s="2">
        <f t="shared" si="10"/>
        <v>2.181818182</v>
      </c>
    </row>
    <row r="65">
      <c r="A65" s="2">
        <f t="shared" si="2"/>
        <v>3.35</v>
      </c>
      <c r="B65" s="3">
        <f t="shared" si="8"/>
        <v>19.8</v>
      </c>
      <c r="C65" s="2">
        <f t="shared" si="9"/>
        <v>14.7</v>
      </c>
      <c r="D65" s="2">
        <f t="shared" si="10"/>
        <v>2.194029851</v>
      </c>
    </row>
    <row r="66">
      <c r="A66" s="2">
        <f t="shared" si="2"/>
        <v>3.4</v>
      </c>
      <c r="B66" s="3">
        <f t="shared" si="8"/>
        <v>20.1</v>
      </c>
      <c r="C66" s="2">
        <f t="shared" si="9"/>
        <v>15</v>
      </c>
      <c r="D66" s="2">
        <f t="shared" si="10"/>
        <v>2.205882353</v>
      </c>
    </row>
    <row r="67">
      <c r="A67" s="2">
        <f t="shared" si="2"/>
        <v>3.45</v>
      </c>
      <c r="B67" s="3">
        <f t="shared" si="8"/>
        <v>20.4</v>
      </c>
      <c r="C67" s="2">
        <f t="shared" si="9"/>
        <v>15.3</v>
      </c>
      <c r="D67" s="2">
        <f t="shared" si="10"/>
        <v>2.217391304</v>
      </c>
    </row>
    <row r="68">
      <c r="A68" s="2">
        <f t="shared" si="2"/>
        <v>3.5</v>
      </c>
      <c r="B68" s="3">
        <f t="shared" si="8"/>
        <v>20.7</v>
      </c>
      <c r="C68" s="2">
        <f t="shared" si="9"/>
        <v>15.6</v>
      </c>
      <c r="D68" s="2">
        <f t="shared" si="10"/>
        <v>2.228571429</v>
      </c>
    </row>
    <row r="69">
      <c r="A69" s="2">
        <f t="shared" si="2"/>
        <v>3.55</v>
      </c>
      <c r="B69" s="3">
        <f t="shared" si="8"/>
        <v>21</v>
      </c>
      <c r="C69" s="2">
        <f t="shared" si="9"/>
        <v>15.9</v>
      </c>
      <c r="D69" s="2">
        <f t="shared" si="10"/>
        <v>2.23943662</v>
      </c>
    </row>
    <row r="70">
      <c r="A70" s="2">
        <f t="shared" si="2"/>
        <v>3.6</v>
      </c>
      <c r="B70" s="3">
        <f t="shared" si="8"/>
        <v>21.3</v>
      </c>
      <c r="C70" s="2">
        <f t="shared" si="9"/>
        <v>16.2</v>
      </c>
      <c r="D70" s="2">
        <f t="shared" si="10"/>
        <v>2.25</v>
      </c>
    </row>
    <row r="71">
      <c r="A71" s="2">
        <f t="shared" si="2"/>
        <v>3.65</v>
      </c>
      <c r="B71" s="3">
        <f t="shared" si="8"/>
        <v>21.6</v>
      </c>
      <c r="C71" s="2">
        <f t="shared" si="9"/>
        <v>16.5</v>
      </c>
      <c r="D71" s="2">
        <f t="shared" si="10"/>
        <v>2.260273973</v>
      </c>
    </row>
    <row r="72">
      <c r="A72" s="2">
        <f t="shared" si="2"/>
        <v>3.7</v>
      </c>
      <c r="B72" s="3">
        <f t="shared" si="8"/>
        <v>21.9</v>
      </c>
      <c r="C72" s="2">
        <f t="shared" si="9"/>
        <v>16.8</v>
      </c>
      <c r="D72" s="2">
        <f t="shared" si="10"/>
        <v>2.27027027</v>
      </c>
    </row>
    <row r="73">
      <c r="A73" s="2">
        <f t="shared" si="2"/>
        <v>3.75</v>
      </c>
      <c r="B73" s="3">
        <f t="shared" si="8"/>
        <v>22.2</v>
      </c>
      <c r="C73" s="2">
        <f t="shared" si="9"/>
        <v>17.1</v>
      </c>
      <c r="D73" s="2">
        <f t="shared" si="10"/>
        <v>2.28</v>
      </c>
    </row>
    <row r="74">
      <c r="A74" s="2">
        <f t="shared" si="2"/>
        <v>3.8</v>
      </c>
      <c r="B74" s="3">
        <f t="shared" si="8"/>
        <v>22.5</v>
      </c>
      <c r="C74" s="2">
        <f t="shared" si="9"/>
        <v>17.4</v>
      </c>
      <c r="D74" s="2">
        <f t="shared" si="10"/>
        <v>2.289473684</v>
      </c>
    </row>
    <row r="75">
      <c r="A75" s="2">
        <f t="shared" si="2"/>
        <v>3.85</v>
      </c>
      <c r="B75" s="3">
        <f t="shared" si="8"/>
        <v>22.8</v>
      </c>
      <c r="C75" s="2">
        <f t="shared" si="9"/>
        <v>17.7</v>
      </c>
      <c r="D75" s="2">
        <f t="shared" si="10"/>
        <v>2.298701299</v>
      </c>
    </row>
    <row r="76">
      <c r="A76" s="2">
        <f t="shared" si="2"/>
        <v>3.9</v>
      </c>
      <c r="B76" s="3">
        <f t="shared" si="8"/>
        <v>23.1</v>
      </c>
      <c r="C76" s="2">
        <f t="shared" si="9"/>
        <v>18</v>
      </c>
      <c r="D76" s="2">
        <f t="shared" si="10"/>
        <v>2.307692308</v>
      </c>
    </row>
    <row r="77">
      <c r="A77" s="2">
        <f t="shared" si="2"/>
        <v>3.95</v>
      </c>
      <c r="B77" s="3">
        <f t="shared" si="8"/>
        <v>23.4</v>
      </c>
      <c r="C77" s="2">
        <f t="shared" si="9"/>
        <v>18.3</v>
      </c>
      <c r="D77" s="2">
        <f t="shared" si="10"/>
        <v>2.316455696</v>
      </c>
    </row>
    <row r="78">
      <c r="A78" s="2">
        <f t="shared" si="2"/>
        <v>4</v>
      </c>
      <c r="B78" s="3">
        <f t="shared" si="8"/>
        <v>23.7</v>
      </c>
      <c r="C78" s="2">
        <f t="shared" si="9"/>
        <v>18.6</v>
      </c>
      <c r="D78" s="2">
        <f t="shared" si="10"/>
        <v>2.325</v>
      </c>
    </row>
    <row r="79">
      <c r="A79" s="2">
        <f t="shared" si="2"/>
        <v>4.05</v>
      </c>
      <c r="B79" s="3">
        <f t="shared" si="8"/>
        <v>24</v>
      </c>
      <c r="C79" s="2">
        <f t="shared" si="9"/>
        <v>18.9</v>
      </c>
      <c r="D79" s="2">
        <f t="shared" si="10"/>
        <v>2.333333333</v>
      </c>
    </row>
    <row r="80">
      <c r="A80" s="2">
        <f t="shared" si="2"/>
        <v>4.1</v>
      </c>
      <c r="B80" s="3">
        <f t="shared" si="8"/>
        <v>24.3</v>
      </c>
      <c r="C80" s="2">
        <f t="shared" si="9"/>
        <v>19.2</v>
      </c>
      <c r="D80" s="2">
        <f t="shared" si="10"/>
        <v>2.341463415</v>
      </c>
    </row>
    <row r="81">
      <c r="A81" s="2">
        <f t="shared" si="2"/>
        <v>4.15</v>
      </c>
      <c r="B81" s="3">
        <f t="shared" si="8"/>
        <v>24.6</v>
      </c>
      <c r="C81" s="2">
        <f t="shared" si="9"/>
        <v>19.5</v>
      </c>
      <c r="D81" s="2">
        <f t="shared" si="10"/>
        <v>2.34939759</v>
      </c>
    </row>
    <row r="82">
      <c r="A82" s="2">
        <f t="shared" si="2"/>
        <v>4.2</v>
      </c>
      <c r="B82" s="3">
        <f t="shared" si="8"/>
        <v>24.9</v>
      </c>
      <c r="C82" s="2">
        <f t="shared" si="9"/>
        <v>19.8</v>
      </c>
      <c r="D82" s="2">
        <f t="shared" si="10"/>
        <v>2.357142857</v>
      </c>
    </row>
    <row r="83">
      <c r="A83" s="2">
        <f t="shared" si="2"/>
        <v>4.25</v>
      </c>
      <c r="B83" s="3">
        <f t="shared" si="8"/>
        <v>25.2</v>
      </c>
      <c r="C83" s="2">
        <f t="shared" si="9"/>
        <v>20.1</v>
      </c>
      <c r="D83" s="2">
        <f t="shared" si="10"/>
        <v>2.364705882</v>
      </c>
    </row>
    <row r="84">
      <c r="A84" s="2">
        <f t="shared" si="2"/>
        <v>4.3</v>
      </c>
      <c r="B84" s="3">
        <f t="shared" si="8"/>
        <v>25.5</v>
      </c>
      <c r="C84" s="2">
        <f t="shared" si="9"/>
        <v>20.4</v>
      </c>
      <c r="D84" s="2">
        <f t="shared" si="10"/>
        <v>2.372093023</v>
      </c>
    </row>
    <row r="85">
      <c r="A85" s="2">
        <f t="shared" si="2"/>
        <v>4.35</v>
      </c>
      <c r="B85" s="3">
        <f t="shared" si="8"/>
        <v>25.8</v>
      </c>
      <c r="C85" s="2">
        <f t="shared" si="9"/>
        <v>20.7</v>
      </c>
      <c r="D85" s="2">
        <f t="shared" si="10"/>
        <v>2.379310345</v>
      </c>
    </row>
    <row r="86">
      <c r="A86" s="2">
        <f t="shared" si="2"/>
        <v>4.4</v>
      </c>
      <c r="B86" s="3">
        <f t="shared" si="8"/>
        <v>26.1</v>
      </c>
      <c r="C86" s="2">
        <f t="shared" si="9"/>
        <v>21</v>
      </c>
      <c r="D86" s="2">
        <f t="shared" si="10"/>
        <v>2.386363636</v>
      </c>
    </row>
    <row r="87">
      <c r="A87" s="2">
        <f t="shared" si="2"/>
        <v>4.45</v>
      </c>
      <c r="B87" s="3">
        <f t="shared" si="8"/>
        <v>26.4</v>
      </c>
      <c r="C87" s="2">
        <f t="shared" si="9"/>
        <v>21.3</v>
      </c>
      <c r="D87" s="2">
        <f t="shared" si="10"/>
        <v>2.393258427</v>
      </c>
    </row>
    <row r="88">
      <c r="A88" s="2">
        <f t="shared" si="2"/>
        <v>4.5</v>
      </c>
      <c r="B88" s="3">
        <f t="shared" si="8"/>
        <v>26.7</v>
      </c>
      <c r="C88" s="2">
        <f t="shared" si="9"/>
        <v>21.6</v>
      </c>
      <c r="D88" s="2">
        <f t="shared" si="10"/>
        <v>2.4</v>
      </c>
    </row>
    <row r="89">
      <c r="A89" s="2">
        <f t="shared" si="2"/>
        <v>4.55</v>
      </c>
      <c r="B89" s="3">
        <f t="shared" si="8"/>
        <v>27</v>
      </c>
      <c r="C89" s="2">
        <f t="shared" si="9"/>
        <v>21.9</v>
      </c>
      <c r="D89" s="2">
        <f t="shared" si="10"/>
        <v>2.406593407</v>
      </c>
    </row>
    <row r="90">
      <c r="A90" s="2">
        <f t="shared" si="2"/>
        <v>4.6</v>
      </c>
      <c r="B90" s="3">
        <f t="shared" si="8"/>
        <v>27.3</v>
      </c>
      <c r="C90" s="2">
        <f t="shared" si="9"/>
        <v>22.2</v>
      </c>
      <c r="D90" s="2">
        <f t="shared" si="10"/>
        <v>2.413043478</v>
      </c>
    </row>
    <row r="91">
      <c r="A91" s="2">
        <f t="shared" si="2"/>
        <v>4.65</v>
      </c>
      <c r="B91" s="3">
        <f t="shared" si="8"/>
        <v>27.6</v>
      </c>
      <c r="C91" s="2">
        <f t="shared" si="9"/>
        <v>22.5</v>
      </c>
      <c r="D91" s="2">
        <f t="shared" si="10"/>
        <v>2.419354839</v>
      </c>
    </row>
    <row r="92">
      <c r="A92" s="2">
        <f t="shared" si="2"/>
        <v>4.7</v>
      </c>
      <c r="B92" s="3">
        <f t="shared" si="8"/>
        <v>27.9</v>
      </c>
      <c r="C92" s="2">
        <f t="shared" si="9"/>
        <v>22.8</v>
      </c>
      <c r="D92" s="2">
        <f t="shared" si="10"/>
        <v>2.425531915</v>
      </c>
    </row>
    <row r="93">
      <c r="A93" s="2">
        <f t="shared" si="2"/>
        <v>4.75</v>
      </c>
      <c r="B93" s="3">
        <f t="shared" si="8"/>
        <v>28.2</v>
      </c>
      <c r="C93" s="2">
        <f t="shared" si="9"/>
        <v>23.1</v>
      </c>
      <c r="D93" s="2">
        <f t="shared" si="10"/>
        <v>2.431578947</v>
      </c>
    </row>
    <row r="94">
      <c r="A94" s="2">
        <f t="shared" si="2"/>
        <v>4.8</v>
      </c>
      <c r="B94" s="3">
        <f t="shared" si="8"/>
        <v>28.5</v>
      </c>
      <c r="C94" s="2">
        <f t="shared" si="9"/>
        <v>23.4</v>
      </c>
      <c r="D94" s="2">
        <f t="shared" si="10"/>
        <v>2.4375</v>
      </c>
    </row>
    <row r="95">
      <c r="A95" s="2">
        <f t="shared" si="2"/>
        <v>4.85</v>
      </c>
      <c r="B95" s="3">
        <f t="shared" si="8"/>
        <v>28.8</v>
      </c>
      <c r="C95" s="2">
        <f t="shared" si="9"/>
        <v>23.7</v>
      </c>
      <c r="D95" s="2">
        <f t="shared" si="10"/>
        <v>2.443298969</v>
      </c>
    </row>
    <row r="96">
      <c r="A96" s="2">
        <f t="shared" si="2"/>
        <v>4.9</v>
      </c>
      <c r="B96" s="3">
        <f t="shared" si="8"/>
        <v>29.1</v>
      </c>
      <c r="C96" s="2">
        <f t="shared" si="9"/>
        <v>24</v>
      </c>
      <c r="D96" s="2">
        <f t="shared" si="10"/>
        <v>2.448979592</v>
      </c>
    </row>
    <row r="97">
      <c r="A97" s="2">
        <f t="shared" si="2"/>
        <v>4.95</v>
      </c>
      <c r="B97" s="3">
        <f t="shared" si="8"/>
        <v>29.4</v>
      </c>
      <c r="C97" s="2">
        <f t="shared" si="9"/>
        <v>24.3</v>
      </c>
      <c r="D97" s="2">
        <f t="shared" si="10"/>
        <v>2.454545455</v>
      </c>
    </row>
    <row r="98">
      <c r="A98" s="2">
        <f t="shared" si="2"/>
        <v>5</v>
      </c>
      <c r="B98" s="3">
        <f t="shared" si="8"/>
        <v>29.7</v>
      </c>
      <c r="C98" s="2">
        <f t="shared" si="9"/>
        <v>24.6</v>
      </c>
      <c r="D98" s="2">
        <f t="shared" si="10"/>
        <v>2.46</v>
      </c>
    </row>
    <row r="99">
      <c r="A99" s="2">
        <f t="shared" si="2"/>
        <v>5.05</v>
      </c>
      <c r="B99" s="3">
        <f t="shared" si="8"/>
        <v>30</v>
      </c>
      <c r="C99" s="2">
        <f t="shared" si="9"/>
        <v>24.9</v>
      </c>
      <c r="D99" s="2">
        <f t="shared" si="10"/>
        <v>2.465346535</v>
      </c>
    </row>
    <row r="100">
      <c r="A100" s="2">
        <f t="shared" si="2"/>
        <v>5.1</v>
      </c>
      <c r="B100" s="3">
        <f t="shared" si="8"/>
        <v>30.3</v>
      </c>
      <c r="C100" s="2">
        <f t="shared" si="9"/>
        <v>25.2</v>
      </c>
      <c r="D100" s="2">
        <f t="shared" si="10"/>
        <v>2.470588235</v>
      </c>
    </row>
    <row r="101">
      <c r="A101" s="2">
        <f t="shared" si="2"/>
        <v>5.15</v>
      </c>
      <c r="B101" s="3">
        <f t="shared" si="8"/>
        <v>30.6</v>
      </c>
      <c r="C101" s="2">
        <f t="shared" si="9"/>
        <v>25.5</v>
      </c>
      <c r="D101" s="2">
        <f t="shared" si="10"/>
        <v>2.475728155</v>
      </c>
    </row>
    <row r="102">
      <c r="A102" s="2">
        <f t="shared" si="2"/>
        <v>5.2</v>
      </c>
      <c r="B102" s="3">
        <f t="shared" si="8"/>
        <v>30.9</v>
      </c>
      <c r="C102" s="2">
        <f t="shared" si="9"/>
        <v>25.8</v>
      </c>
      <c r="D102" s="2">
        <f t="shared" si="10"/>
        <v>2.480769231</v>
      </c>
    </row>
    <row r="103">
      <c r="A103" s="2">
        <f t="shared" si="2"/>
        <v>5.25</v>
      </c>
      <c r="B103" s="3">
        <f t="shared" si="8"/>
        <v>31.2</v>
      </c>
      <c r="C103" s="2">
        <f t="shared" si="9"/>
        <v>26.1</v>
      </c>
      <c r="D103" s="2">
        <f t="shared" si="10"/>
        <v>2.485714286</v>
      </c>
    </row>
    <row r="104">
      <c r="A104" s="2">
        <f t="shared" si="2"/>
        <v>5.3</v>
      </c>
      <c r="B104" s="3">
        <f t="shared" si="8"/>
        <v>31.5</v>
      </c>
      <c r="C104" s="2">
        <f t="shared" si="9"/>
        <v>26.4</v>
      </c>
      <c r="D104" s="2">
        <f t="shared" si="10"/>
        <v>2.490566038</v>
      </c>
    </row>
    <row r="105">
      <c r="A105" s="2">
        <f t="shared" si="2"/>
        <v>5.35</v>
      </c>
      <c r="B105" s="3">
        <f t="shared" si="8"/>
        <v>31.8</v>
      </c>
      <c r="C105" s="2">
        <f t="shared" si="9"/>
        <v>26.7</v>
      </c>
      <c r="D105" s="2">
        <f t="shared" si="10"/>
        <v>2.495327103</v>
      </c>
    </row>
    <row r="106">
      <c r="A106" s="2">
        <f t="shared" si="2"/>
        <v>5.4</v>
      </c>
      <c r="B106" s="3">
        <f t="shared" si="8"/>
        <v>32.1</v>
      </c>
      <c r="C106" s="2">
        <f t="shared" si="9"/>
        <v>27</v>
      </c>
      <c r="D106" s="2">
        <f t="shared" si="10"/>
        <v>2.5</v>
      </c>
    </row>
    <row r="107">
      <c r="A107" s="2">
        <f t="shared" si="2"/>
        <v>5.45</v>
      </c>
      <c r="B107" s="3">
        <f t="shared" si="8"/>
        <v>32.4</v>
      </c>
      <c r="C107" s="2">
        <f t="shared" si="9"/>
        <v>27.3</v>
      </c>
      <c r="D107" s="2">
        <f t="shared" si="10"/>
        <v>2.504587156</v>
      </c>
    </row>
    <row r="108">
      <c r="A108" s="2">
        <f t="shared" si="2"/>
        <v>5.5</v>
      </c>
      <c r="B108" s="3">
        <f t="shared" si="8"/>
        <v>32.7</v>
      </c>
      <c r="C108" s="2">
        <f t="shared" si="9"/>
        <v>27.6</v>
      </c>
      <c r="D108" s="2">
        <f t="shared" si="10"/>
        <v>2.509090909</v>
      </c>
    </row>
    <row r="109">
      <c r="A109" s="2">
        <f t="shared" si="2"/>
        <v>5.55</v>
      </c>
      <c r="B109" s="3">
        <f t="shared" si="8"/>
        <v>33</v>
      </c>
      <c r="C109" s="2">
        <f t="shared" si="9"/>
        <v>27.9</v>
      </c>
      <c r="D109" s="2">
        <f t="shared" si="10"/>
        <v>2.513513514</v>
      </c>
    </row>
    <row r="110">
      <c r="A110" s="2">
        <f t="shared" si="2"/>
        <v>5.6</v>
      </c>
      <c r="B110" s="3">
        <f t="shared" si="8"/>
        <v>33.3</v>
      </c>
      <c r="C110" s="2">
        <f t="shared" si="9"/>
        <v>28.2</v>
      </c>
      <c r="D110" s="2">
        <f t="shared" si="10"/>
        <v>2.517857143</v>
      </c>
    </row>
    <row r="111">
      <c r="A111" s="2">
        <f t="shared" si="2"/>
        <v>5.65</v>
      </c>
      <c r="B111" s="3">
        <f t="shared" si="8"/>
        <v>33.6</v>
      </c>
      <c r="C111" s="2">
        <f t="shared" si="9"/>
        <v>28.5</v>
      </c>
      <c r="D111" s="2">
        <f t="shared" si="10"/>
        <v>2.522123894</v>
      </c>
    </row>
    <row r="112">
      <c r="A112" s="2">
        <f t="shared" si="2"/>
        <v>5.7</v>
      </c>
      <c r="B112" s="3">
        <f t="shared" si="8"/>
        <v>33.9</v>
      </c>
      <c r="C112" s="2">
        <f t="shared" si="9"/>
        <v>28.8</v>
      </c>
      <c r="D112" s="2">
        <f t="shared" si="10"/>
        <v>2.526315789</v>
      </c>
    </row>
    <row r="113">
      <c r="A113" s="2">
        <f t="shared" si="2"/>
        <v>5.75</v>
      </c>
      <c r="B113" s="3">
        <f t="shared" si="8"/>
        <v>34.2</v>
      </c>
      <c r="C113" s="2">
        <f t="shared" si="9"/>
        <v>29.1</v>
      </c>
      <c r="D113" s="2">
        <f t="shared" si="10"/>
        <v>2.530434783</v>
      </c>
    </row>
    <row r="114">
      <c r="A114" s="2">
        <f t="shared" si="2"/>
        <v>5.8</v>
      </c>
      <c r="B114" s="3">
        <f t="shared" si="8"/>
        <v>34.5</v>
      </c>
      <c r="C114" s="2">
        <f t="shared" si="9"/>
        <v>29.4</v>
      </c>
      <c r="D114" s="2">
        <f t="shared" si="10"/>
        <v>2.534482759</v>
      </c>
    </row>
    <row r="115">
      <c r="A115" s="2">
        <f t="shared" si="2"/>
        <v>5.85</v>
      </c>
      <c r="B115" s="3">
        <f t="shared" si="8"/>
        <v>34.8</v>
      </c>
      <c r="C115" s="2">
        <f t="shared" si="9"/>
        <v>29.7</v>
      </c>
      <c r="D115" s="2">
        <f t="shared" si="10"/>
        <v>2.538461538</v>
      </c>
    </row>
    <row r="116">
      <c r="A116" s="2">
        <f t="shared" si="2"/>
        <v>5.9</v>
      </c>
      <c r="B116" s="3">
        <f t="shared" si="8"/>
        <v>35.1</v>
      </c>
      <c r="C116" s="2">
        <f t="shared" si="9"/>
        <v>30</v>
      </c>
      <c r="D116" s="2">
        <f t="shared" si="10"/>
        <v>2.542372881</v>
      </c>
    </row>
    <row r="117">
      <c r="A117" s="2">
        <f t="shared" si="2"/>
        <v>5.95</v>
      </c>
      <c r="B117" s="3">
        <f t="shared" si="8"/>
        <v>35.4</v>
      </c>
      <c r="C117" s="2">
        <f t="shared" si="9"/>
        <v>30.3</v>
      </c>
      <c r="D117" s="2">
        <f t="shared" si="10"/>
        <v>2.546218487</v>
      </c>
    </row>
    <row r="118">
      <c r="A118" s="2">
        <f t="shared" si="2"/>
        <v>6</v>
      </c>
      <c r="B118" s="3">
        <f t="shared" si="8"/>
        <v>35.7</v>
      </c>
      <c r="C118" s="2">
        <f t="shared" si="9"/>
        <v>30.6</v>
      </c>
      <c r="D118" s="2">
        <f t="shared" si="10"/>
        <v>2.55</v>
      </c>
    </row>
    <row r="119">
      <c r="A119" s="2">
        <f t="shared" si="2"/>
        <v>6.05</v>
      </c>
      <c r="B119" s="3">
        <f t="shared" si="8"/>
        <v>36</v>
      </c>
      <c r="C119" s="2">
        <f t="shared" si="9"/>
        <v>30.9</v>
      </c>
      <c r="D119" s="2">
        <f t="shared" si="10"/>
        <v>2.553719008</v>
      </c>
    </row>
    <row r="120">
      <c r="A120" s="2">
        <f t="shared" si="2"/>
        <v>6.1</v>
      </c>
      <c r="B120" s="3">
        <f t="shared" si="8"/>
        <v>36.3</v>
      </c>
      <c r="C120" s="2">
        <f t="shared" si="9"/>
        <v>31.2</v>
      </c>
      <c r="D120" s="2">
        <f t="shared" si="10"/>
        <v>2.557377049</v>
      </c>
    </row>
    <row r="121">
      <c r="A121" s="2">
        <f t="shared" si="2"/>
        <v>6.15</v>
      </c>
      <c r="B121" s="3">
        <f t="shared" si="8"/>
        <v>36.6</v>
      </c>
      <c r="C121" s="2">
        <f t="shared" si="9"/>
        <v>31.5</v>
      </c>
      <c r="D121" s="2">
        <f t="shared" si="10"/>
        <v>2.56097561</v>
      </c>
    </row>
    <row r="122">
      <c r="A122" s="2">
        <f t="shared" si="2"/>
        <v>6.2</v>
      </c>
      <c r="B122" s="3">
        <f t="shared" si="8"/>
        <v>36.9</v>
      </c>
      <c r="C122" s="2">
        <f t="shared" si="9"/>
        <v>31.8</v>
      </c>
      <c r="D122" s="2">
        <f t="shared" si="10"/>
        <v>2.564516129</v>
      </c>
    </row>
    <row r="123">
      <c r="A123" s="2">
        <f t="shared" si="2"/>
        <v>6.25</v>
      </c>
      <c r="B123" s="3">
        <f t="shared" si="8"/>
        <v>37.2</v>
      </c>
      <c r="C123" s="2">
        <f t="shared" si="9"/>
        <v>32.1</v>
      </c>
      <c r="D123" s="2">
        <f t="shared" si="10"/>
        <v>2.568</v>
      </c>
    </row>
    <row r="124">
      <c r="A124" s="2">
        <f t="shared" si="2"/>
        <v>6.3</v>
      </c>
      <c r="B124" s="3">
        <f t="shared" si="8"/>
        <v>37.5</v>
      </c>
      <c r="C124" s="2">
        <f t="shared" si="9"/>
        <v>32.4</v>
      </c>
      <c r="D124" s="2">
        <f t="shared" si="10"/>
        <v>2.571428571</v>
      </c>
    </row>
    <row r="125">
      <c r="A125" s="2">
        <f t="shared" si="2"/>
        <v>6.35</v>
      </c>
      <c r="B125" s="3">
        <f t="shared" si="8"/>
        <v>37.8</v>
      </c>
      <c r="C125" s="2">
        <f t="shared" si="9"/>
        <v>32.7</v>
      </c>
      <c r="D125" s="2">
        <f t="shared" si="10"/>
        <v>2.57480315</v>
      </c>
    </row>
    <row r="126">
      <c r="A126" s="2">
        <f t="shared" si="2"/>
        <v>6.4</v>
      </c>
      <c r="B126" s="3">
        <f t="shared" si="8"/>
        <v>38.1</v>
      </c>
      <c r="C126" s="2">
        <f t="shared" si="9"/>
        <v>33</v>
      </c>
      <c r="D126" s="2">
        <f t="shared" si="10"/>
        <v>2.578125</v>
      </c>
    </row>
    <row r="127">
      <c r="A127" s="2">
        <f t="shared" si="2"/>
        <v>6.45</v>
      </c>
      <c r="B127" s="3">
        <f t="shared" si="8"/>
        <v>38.4</v>
      </c>
      <c r="C127" s="2">
        <f t="shared" si="9"/>
        <v>33.3</v>
      </c>
      <c r="D127" s="2">
        <f t="shared" si="10"/>
        <v>2.581395349</v>
      </c>
    </row>
    <row r="128">
      <c r="A128" s="2">
        <f t="shared" si="2"/>
        <v>6.5</v>
      </c>
      <c r="B128" s="3">
        <f t="shared" si="8"/>
        <v>38.7</v>
      </c>
      <c r="C128" s="2">
        <f t="shared" si="9"/>
        <v>33.6</v>
      </c>
      <c r="D128" s="2">
        <f t="shared" si="10"/>
        <v>2.584615385</v>
      </c>
    </row>
    <row r="129">
      <c r="A129" s="2">
        <f t="shared" si="2"/>
        <v>6.55</v>
      </c>
      <c r="B129" s="3">
        <f t="shared" si="8"/>
        <v>39</v>
      </c>
      <c r="C129" s="2">
        <f t="shared" si="9"/>
        <v>33.9</v>
      </c>
      <c r="D129" s="2">
        <f t="shared" si="10"/>
        <v>2.58778626</v>
      </c>
    </row>
    <row r="130">
      <c r="A130" s="2">
        <f t="shared" si="2"/>
        <v>6.6</v>
      </c>
      <c r="B130" s="3">
        <f t="shared" si="8"/>
        <v>39.3</v>
      </c>
      <c r="C130" s="2">
        <f t="shared" si="9"/>
        <v>34.2</v>
      </c>
      <c r="D130" s="2">
        <f t="shared" si="10"/>
        <v>2.590909091</v>
      </c>
    </row>
    <row r="131">
      <c r="A131" s="2">
        <f t="shared" si="2"/>
        <v>6.65</v>
      </c>
      <c r="B131" s="3">
        <f t="shared" si="8"/>
        <v>39.6</v>
      </c>
      <c r="C131" s="2">
        <f t="shared" si="9"/>
        <v>34.5</v>
      </c>
      <c r="D131" s="2">
        <f t="shared" si="10"/>
        <v>2.593984962</v>
      </c>
    </row>
    <row r="132">
      <c r="A132" s="2">
        <f t="shared" si="2"/>
        <v>6.7</v>
      </c>
      <c r="B132" s="3">
        <f t="shared" si="8"/>
        <v>39.9</v>
      </c>
      <c r="C132" s="2">
        <f t="shared" si="9"/>
        <v>34.8</v>
      </c>
      <c r="D132" s="2">
        <f t="shared" si="10"/>
        <v>2.597014925</v>
      </c>
    </row>
    <row r="133">
      <c r="A133" s="2">
        <f t="shared" si="2"/>
        <v>6.75</v>
      </c>
      <c r="B133" s="3">
        <f t="shared" si="8"/>
        <v>40.2</v>
      </c>
      <c r="C133" s="2">
        <f t="shared" si="9"/>
        <v>35.1</v>
      </c>
      <c r="D133" s="2">
        <f t="shared" si="10"/>
        <v>2.6</v>
      </c>
    </row>
    <row r="134">
      <c r="A134" s="2">
        <f t="shared" si="2"/>
        <v>6.8</v>
      </c>
      <c r="B134" s="3">
        <f t="shared" si="8"/>
        <v>40.5</v>
      </c>
      <c r="C134" s="2">
        <f t="shared" si="9"/>
        <v>35.4</v>
      </c>
      <c r="D134" s="2">
        <f t="shared" si="10"/>
        <v>2.602941176</v>
      </c>
    </row>
    <row r="135">
      <c r="A135" s="2">
        <f t="shared" si="2"/>
        <v>6.85</v>
      </c>
      <c r="B135" s="3">
        <f t="shared" si="8"/>
        <v>40.8</v>
      </c>
      <c r="C135" s="2">
        <f t="shared" si="9"/>
        <v>35.7</v>
      </c>
      <c r="D135" s="2">
        <f t="shared" si="10"/>
        <v>2.605839416</v>
      </c>
    </row>
    <row r="136">
      <c r="A136" s="2">
        <f t="shared" si="2"/>
        <v>6.9</v>
      </c>
      <c r="B136" s="3">
        <f t="shared" si="8"/>
        <v>41.1</v>
      </c>
      <c r="C136" s="2">
        <f t="shared" si="9"/>
        <v>36</v>
      </c>
      <c r="D136" s="2">
        <f t="shared" si="10"/>
        <v>2.608695652</v>
      </c>
    </row>
    <row r="137">
      <c r="A137" s="2">
        <f t="shared" si="2"/>
        <v>6.95</v>
      </c>
      <c r="B137" s="3">
        <f t="shared" si="8"/>
        <v>41.4</v>
      </c>
      <c r="C137" s="2">
        <f t="shared" si="9"/>
        <v>36.3</v>
      </c>
      <c r="D137" s="2">
        <f t="shared" si="10"/>
        <v>2.611510791</v>
      </c>
    </row>
    <row r="138">
      <c r="A138" s="2">
        <f t="shared" si="2"/>
        <v>7</v>
      </c>
      <c r="B138" s="3">
        <f t="shared" si="8"/>
        <v>41.7</v>
      </c>
      <c r="C138" s="2">
        <f t="shared" si="9"/>
        <v>36.6</v>
      </c>
      <c r="D138" s="2">
        <f t="shared" si="10"/>
        <v>2.614285714</v>
      </c>
    </row>
    <row r="139">
      <c r="A139" s="2">
        <f t="shared" si="2"/>
        <v>7.05</v>
      </c>
      <c r="B139" s="3">
        <f t="shared" si="8"/>
        <v>42</v>
      </c>
      <c r="C139" s="2">
        <f t="shared" si="9"/>
        <v>36.9</v>
      </c>
      <c r="D139" s="2">
        <f t="shared" si="10"/>
        <v>2.617021277</v>
      </c>
    </row>
    <row r="140">
      <c r="A140" s="2">
        <f t="shared" si="2"/>
        <v>7.1</v>
      </c>
      <c r="B140" s="3">
        <f t="shared" si="8"/>
        <v>42.3</v>
      </c>
      <c r="C140" s="2">
        <f t="shared" si="9"/>
        <v>37.2</v>
      </c>
      <c r="D140" s="2">
        <f t="shared" si="10"/>
        <v>2.61971831</v>
      </c>
    </row>
    <row r="141">
      <c r="A141" s="2">
        <f t="shared" si="2"/>
        <v>7.15</v>
      </c>
      <c r="B141" s="3">
        <f t="shared" si="8"/>
        <v>42.6</v>
      </c>
      <c r="C141" s="2">
        <f t="shared" si="9"/>
        <v>37.5</v>
      </c>
      <c r="D141" s="2">
        <f t="shared" si="10"/>
        <v>2.622377622</v>
      </c>
    </row>
    <row r="142">
      <c r="A142" s="2">
        <f t="shared" si="2"/>
        <v>7.2</v>
      </c>
      <c r="B142" s="3">
        <f t="shared" si="8"/>
        <v>42.9</v>
      </c>
      <c r="C142" s="2">
        <f t="shared" si="9"/>
        <v>37.8</v>
      </c>
      <c r="D142" s="2">
        <f t="shared" si="10"/>
        <v>2.625</v>
      </c>
    </row>
    <row r="143">
      <c r="A143" s="2">
        <f t="shared" si="2"/>
        <v>7.25</v>
      </c>
      <c r="B143" s="3">
        <f t="shared" si="8"/>
        <v>43.2</v>
      </c>
      <c r="C143" s="2">
        <f t="shared" si="9"/>
        <v>38.1</v>
      </c>
      <c r="D143" s="2">
        <f t="shared" si="10"/>
        <v>2.627586207</v>
      </c>
    </row>
    <row r="144">
      <c r="A144" s="2">
        <f t="shared" si="2"/>
        <v>7.3</v>
      </c>
      <c r="B144" s="3">
        <f t="shared" si="8"/>
        <v>43.5</v>
      </c>
      <c r="C144" s="2">
        <f t="shared" si="9"/>
        <v>38.4</v>
      </c>
      <c r="D144" s="2">
        <f t="shared" si="10"/>
        <v>2.630136986</v>
      </c>
    </row>
    <row r="145">
      <c r="A145" s="2">
        <f t="shared" si="2"/>
        <v>7.35</v>
      </c>
      <c r="B145" s="3">
        <f t="shared" si="8"/>
        <v>43.8</v>
      </c>
      <c r="C145" s="2">
        <f t="shared" si="9"/>
        <v>38.7</v>
      </c>
      <c r="D145" s="2">
        <f t="shared" si="10"/>
        <v>2.632653061</v>
      </c>
    </row>
    <row r="146">
      <c r="A146" s="2">
        <f t="shared" si="2"/>
        <v>7.4</v>
      </c>
      <c r="B146" s="3">
        <f t="shared" si="8"/>
        <v>44.1</v>
      </c>
      <c r="C146" s="2">
        <f t="shared" si="9"/>
        <v>39</v>
      </c>
      <c r="D146" s="2">
        <f t="shared" si="10"/>
        <v>2.635135135</v>
      </c>
    </row>
    <row r="147">
      <c r="A147" s="2">
        <f t="shared" si="2"/>
        <v>7.45</v>
      </c>
      <c r="B147" s="3">
        <f t="shared" si="8"/>
        <v>44.4</v>
      </c>
      <c r="C147" s="2">
        <f t="shared" si="9"/>
        <v>39.3</v>
      </c>
      <c r="D147" s="2">
        <f t="shared" si="10"/>
        <v>2.637583893</v>
      </c>
    </row>
    <row r="148">
      <c r="A148" s="2">
        <f t="shared" si="2"/>
        <v>7.5</v>
      </c>
      <c r="B148" s="3">
        <f t="shared" si="8"/>
        <v>44.7</v>
      </c>
      <c r="C148" s="2">
        <f t="shared" si="9"/>
        <v>39.6</v>
      </c>
      <c r="D148" s="2">
        <f t="shared" si="10"/>
        <v>2.64</v>
      </c>
    </row>
    <row r="149">
      <c r="A149" s="2">
        <f t="shared" si="2"/>
        <v>7.55</v>
      </c>
      <c r="B149" s="3">
        <f t="shared" si="8"/>
        <v>45</v>
      </c>
      <c r="C149" s="2">
        <f t="shared" si="9"/>
        <v>39.9</v>
      </c>
      <c r="D149" s="2">
        <f t="shared" si="10"/>
        <v>2.642384106</v>
      </c>
    </row>
    <row r="150">
      <c r="A150" s="2">
        <f t="shared" si="2"/>
        <v>7.6</v>
      </c>
      <c r="B150" s="3">
        <f t="shared" si="8"/>
        <v>45.3</v>
      </c>
      <c r="C150" s="2">
        <f t="shared" si="9"/>
        <v>40.2</v>
      </c>
      <c r="D150" s="2">
        <f t="shared" si="10"/>
        <v>2.644736842</v>
      </c>
    </row>
    <row r="151">
      <c r="A151" s="2">
        <f t="shared" si="2"/>
        <v>7.65</v>
      </c>
      <c r="B151" s="3">
        <f t="shared" si="8"/>
        <v>45.6</v>
      </c>
      <c r="C151" s="2">
        <f t="shared" si="9"/>
        <v>40.5</v>
      </c>
      <c r="D151" s="2">
        <f t="shared" si="10"/>
        <v>2.647058824</v>
      </c>
    </row>
    <row r="152">
      <c r="A152" s="2">
        <f t="shared" si="2"/>
        <v>7.7</v>
      </c>
      <c r="B152" s="3">
        <f t="shared" si="8"/>
        <v>45.9</v>
      </c>
      <c r="C152" s="2">
        <f t="shared" si="9"/>
        <v>40.8</v>
      </c>
      <c r="D152" s="2">
        <f t="shared" si="10"/>
        <v>2.649350649</v>
      </c>
    </row>
    <row r="153">
      <c r="A153" s="2">
        <f t="shared" si="2"/>
        <v>7.75</v>
      </c>
      <c r="B153" s="3">
        <f t="shared" si="8"/>
        <v>46.2</v>
      </c>
      <c r="C153" s="2">
        <f t="shared" si="9"/>
        <v>41.1</v>
      </c>
      <c r="D153" s="2">
        <f t="shared" si="10"/>
        <v>2.651612903</v>
      </c>
    </row>
    <row r="154">
      <c r="A154" s="2">
        <f t="shared" si="2"/>
        <v>7.8</v>
      </c>
      <c r="B154" s="3">
        <f t="shared" si="8"/>
        <v>46.5</v>
      </c>
      <c r="C154" s="2">
        <f t="shared" si="9"/>
        <v>41.4</v>
      </c>
      <c r="D154" s="2">
        <f t="shared" si="10"/>
        <v>2.653846154</v>
      </c>
    </row>
    <row r="155">
      <c r="A155" s="2">
        <f t="shared" si="2"/>
        <v>7.85</v>
      </c>
      <c r="B155" s="3">
        <f t="shared" si="8"/>
        <v>46.8</v>
      </c>
      <c r="C155" s="2">
        <f t="shared" si="9"/>
        <v>41.7</v>
      </c>
      <c r="D155" s="2">
        <f t="shared" si="10"/>
        <v>2.656050955</v>
      </c>
    </row>
    <row r="156">
      <c r="A156" s="2">
        <f t="shared" si="2"/>
        <v>7.9</v>
      </c>
      <c r="B156" s="3">
        <f t="shared" si="8"/>
        <v>47.1</v>
      </c>
      <c r="C156" s="2">
        <f t="shared" si="9"/>
        <v>42</v>
      </c>
      <c r="D156" s="2">
        <f t="shared" si="10"/>
        <v>2.658227848</v>
      </c>
    </row>
    <row r="157">
      <c r="A157" s="2">
        <f t="shared" si="2"/>
        <v>7.95</v>
      </c>
      <c r="B157" s="3">
        <f t="shared" si="8"/>
        <v>47.4</v>
      </c>
      <c r="C157" s="2">
        <f t="shared" si="9"/>
        <v>42.3</v>
      </c>
      <c r="D157" s="2">
        <f t="shared" si="10"/>
        <v>2.660377358</v>
      </c>
    </row>
    <row r="158">
      <c r="A158" s="2">
        <f t="shared" si="2"/>
        <v>8</v>
      </c>
      <c r="B158" s="3">
        <f t="shared" si="8"/>
        <v>47.7</v>
      </c>
      <c r="C158" s="2">
        <f t="shared" si="9"/>
        <v>42.6</v>
      </c>
      <c r="D158" s="2">
        <f t="shared" si="10"/>
        <v>2.6625</v>
      </c>
    </row>
    <row r="159">
      <c r="A159" s="2">
        <f t="shared" si="2"/>
        <v>8.05</v>
      </c>
      <c r="B159" s="3">
        <f t="shared" si="8"/>
        <v>48</v>
      </c>
      <c r="C159" s="2">
        <f t="shared" si="9"/>
        <v>42.9</v>
      </c>
      <c r="D159" s="2">
        <f t="shared" si="10"/>
        <v>2.664596273</v>
      </c>
    </row>
    <row r="160">
      <c r="A160" s="2">
        <f t="shared" si="2"/>
        <v>8.1</v>
      </c>
      <c r="B160" s="3">
        <f t="shared" si="8"/>
        <v>48.3</v>
      </c>
      <c r="C160" s="2">
        <f t="shared" si="9"/>
        <v>43.2</v>
      </c>
      <c r="D160" s="2">
        <f t="shared" si="10"/>
        <v>2.666666667</v>
      </c>
    </row>
    <row r="161">
      <c r="A161" s="2">
        <f t="shared" si="2"/>
        <v>8.15</v>
      </c>
      <c r="B161" s="3">
        <f t="shared" si="8"/>
        <v>48.6</v>
      </c>
      <c r="C161" s="2">
        <f t="shared" si="9"/>
        <v>43.5</v>
      </c>
      <c r="D161" s="2">
        <f t="shared" si="10"/>
        <v>2.668711656</v>
      </c>
    </row>
    <row r="162">
      <c r="A162" s="2">
        <f t="shared" si="2"/>
        <v>8.2</v>
      </c>
      <c r="B162" s="3">
        <f t="shared" si="8"/>
        <v>48.9</v>
      </c>
      <c r="C162" s="2">
        <f t="shared" si="9"/>
        <v>43.8</v>
      </c>
      <c r="D162" s="2">
        <f t="shared" si="10"/>
        <v>2.670731707</v>
      </c>
    </row>
    <row r="163">
      <c r="A163" s="2">
        <f t="shared" si="2"/>
        <v>8.25</v>
      </c>
      <c r="B163" s="3">
        <f t="shared" si="8"/>
        <v>49.2</v>
      </c>
      <c r="C163" s="2">
        <f t="shared" si="9"/>
        <v>44.1</v>
      </c>
      <c r="D163" s="2">
        <f t="shared" si="10"/>
        <v>2.672727273</v>
      </c>
    </row>
    <row r="164">
      <c r="A164" s="2">
        <f t="shared" si="2"/>
        <v>8.3</v>
      </c>
      <c r="B164" s="3">
        <f t="shared" si="8"/>
        <v>49.5</v>
      </c>
      <c r="C164" s="2">
        <f t="shared" si="9"/>
        <v>44.4</v>
      </c>
      <c r="D164" s="2">
        <f t="shared" si="10"/>
        <v>2.674698795</v>
      </c>
    </row>
    <row r="165">
      <c r="A165" s="2">
        <f t="shared" si="2"/>
        <v>8.35</v>
      </c>
      <c r="B165" s="3">
        <f t="shared" si="8"/>
        <v>49.8</v>
      </c>
      <c r="C165" s="2">
        <f t="shared" si="9"/>
        <v>44.7</v>
      </c>
      <c r="D165" s="2">
        <f t="shared" si="10"/>
        <v>2.676646707</v>
      </c>
    </row>
    <row r="166">
      <c r="A166" s="2">
        <f t="shared" si="2"/>
        <v>8.4</v>
      </c>
      <c r="B166" s="3">
        <f t="shared" si="8"/>
        <v>50.1</v>
      </c>
      <c r="C166" s="2">
        <f t="shared" si="9"/>
        <v>45</v>
      </c>
      <c r="D166" s="2">
        <f t="shared" si="10"/>
        <v>2.678571429</v>
      </c>
    </row>
    <row r="167">
      <c r="A167" s="2">
        <f t="shared" si="2"/>
        <v>8.45</v>
      </c>
      <c r="B167" s="3">
        <f t="shared" si="8"/>
        <v>50.4</v>
      </c>
      <c r="C167" s="2">
        <f t="shared" si="9"/>
        <v>45.3</v>
      </c>
      <c r="D167" s="2">
        <f t="shared" si="10"/>
        <v>2.680473373</v>
      </c>
    </row>
    <row r="168">
      <c r="A168" s="2">
        <f t="shared" si="2"/>
        <v>8.5</v>
      </c>
      <c r="B168" s="3">
        <f t="shared" si="8"/>
        <v>50.7</v>
      </c>
      <c r="C168" s="2">
        <f t="shared" si="9"/>
        <v>45.6</v>
      </c>
      <c r="D168" s="2">
        <f t="shared" si="10"/>
        <v>2.682352941</v>
      </c>
    </row>
    <row r="169">
      <c r="A169" s="2">
        <f t="shared" si="2"/>
        <v>8.55</v>
      </c>
      <c r="B169" s="3">
        <f t="shared" si="8"/>
        <v>51</v>
      </c>
      <c r="C169" s="2">
        <f t="shared" si="9"/>
        <v>45.9</v>
      </c>
      <c r="D169" s="2">
        <f t="shared" si="10"/>
        <v>2.684210526</v>
      </c>
    </row>
    <row r="170">
      <c r="A170" s="2">
        <f t="shared" si="2"/>
        <v>8.6</v>
      </c>
      <c r="B170" s="3">
        <f t="shared" si="8"/>
        <v>51.3</v>
      </c>
      <c r="C170" s="2">
        <f t="shared" si="9"/>
        <v>46.2</v>
      </c>
      <c r="D170" s="2">
        <f t="shared" si="10"/>
        <v>2.686046512</v>
      </c>
    </row>
    <row r="171">
      <c r="A171" s="2">
        <f t="shared" si="2"/>
        <v>8.65</v>
      </c>
      <c r="B171" s="3">
        <f t="shared" si="8"/>
        <v>51.6</v>
      </c>
      <c r="C171" s="2">
        <f t="shared" si="9"/>
        <v>46.5</v>
      </c>
      <c r="D171" s="2">
        <f t="shared" si="10"/>
        <v>2.687861272</v>
      </c>
    </row>
    <row r="172">
      <c r="A172" s="2">
        <f t="shared" si="2"/>
        <v>8.7</v>
      </c>
      <c r="B172" s="3">
        <f t="shared" si="8"/>
        <v>51.9</v>
      </c>
      <c r="C172" s="2">
        <f t="shared" si="9"/>
        <v>46.8</v>
      </c>
      <c r="D172" s="2">
        <f t="shared" si="10"/>
        <v>2.689655172</v>
      </c>
    </row>
    <row r="173">
      <c r="A173" s="2">
        <f t="shared" si="2"/>
        <v>8.75</v>
      </c>
      <c r="B173" s="3">
        <f t="shared" si="8"/>
        <v>52.2</v>
      </c>
      <c r="C173" s="2">
        <f t="shared" si="9"/>
        <v>47.1</v>
      </c>
      <c r="D173" s="2">
        <f t="shared" si="10"/>
        <v>2.691428571</v>
      </c>
    </row>
    <row r="174">
      <c r="A174" s="2">
        <f t="shared" si="2"/>
        <v>8.8</v>
      </c>
      <c r="B174" s="3">
        <f t="shared" si="8"/>
        <v>52.5</v>
      </c>
      <c r="C174" s="2">
        <f t="shared" si="9"/>
        <v>47.4</v>
      </c>
      <c r="D174" s="2">
        <f t="shared" si="10"/>
        <v>2.693181818</v>
      </c>
    </row>
    <row r="175">
      <c r="A175" s="2">
        <f t="shared" si="2"/>
        <v>8.85</v>
      </c>
      <c r="B175" s="3">
        <f t="shared" si="8"/>
        <v>52.8</v>
      </c>
      <c r="C175" s="2">
        <f t="shared" si="9"/>
        <v>47.7</v>
      </c>
      <c r="D175" s="2">
        <f t="shared" si="10"/>
        <v>2.694915254</v>
      </c>
    </row>
    <row r="176">
      <c r="A176" s="2">
        <f t="shared" si="2"/>
        <v>8.9</v>
      </c>
      <c r="B176" s="3">
        <f t="shared" si="8"/>
        <v>53.1</v>
      </c>
      <c r="C176" s="2">
        <f t="shared" si="9"/>
        <v>48</v>
      </c>
      <c r="D176" s="2">
        <f t="shared" si="10"/>
        <v>2.696629213</v>
      </c>
    </row>
    <row r="177">
      <c r="A177" s="2">
        <f t="shared" si="2"/>
        <v>8.95</v>
      </c>
      <c r="B177" s="3">
        <f t="shared" si="8"/>
        <v>53.4</v>
      </c>
      <c r="C177" s="2">
        <f t="shared" si="9"/>
        <v>48.3</v>
      </c>
      <c r="D177" s="2">
        <f t="shared" si="10"/>
        <v>2.698324022</v>
      </c>
    </row>
    <row r="178">
      <c r="A178" s="2">
        <f t="shared" si="2"/>
        <v>9</v>
      </c>
      <c r="B178" s="3">
        <f t="shared" si="8"/>
        <v>53.7</v>
      </c>
      <c r="C178" s="2">
        <f t="shared" si="9"/>
        <v>48.6</v>
      </c>
      <c r="D178" s="2">
        <f t="shared" si="10"/>
        <v>2.7</v>
      </c>
    </row>
    <row r="179">
      <c r="A179" s="2">
        <f t="shared" si="2"/>
        <v>9.05</v>
      </c>
      <c r="B179" s="3">
        <f t="shared" si="8"/>
        <v>54</v>
      </c>
      <c r="C179" s="2">
        <f t="shared" si="9"/>
        <v>48.9</v>
      </c>
      <c r="D179" s="2">
        <f t="shared" si="10"/>
        <v>2.701657459</v>
      </c>
    </row>
    <row r="180">
      <c r="A180" s="2">
        <f t="shared" si="2"/>
        <v>9.1</v>
      </c>
      <c r="B180" s="3">
        <f t="shared" si="8"/>
        <v>54.3</v>
      </c>
      <c r="C180" s="2">
        <f t="shared" si="9"/>
        <v>49.2</v>
      </c>
      <c r="D180" s="2">
        <f t="shared" si="10"/>
        <v>2.703296703</v>
      </c>
    </row>
    <row r="181">
      <c r="A181" s="2">
        <f t="shared" si="2"/>
        <v>9.15</v>
      </c>
      <c r="B181" s="3">
        <f t="shared" si="8"/>
        <v>54.6</v>
      </c>
      <c r="C181" s="2">
        <f t="shared" si="9"/>
        <v>49.5</v>
      </c>
      <c r="D181" s="2">
        <f t="shared" si="10"/>
        <v>2.704918033</v>
      </c>
    </row>
    <row r="182">
      <c r="A182" s="2">
        <f t="shared" si="2"/>
        <v>9.2</v>
      </c>
      <c r="B182" s="3">
        <f t="shared" si="8"/>
        <v>54.9</v>
      </c>
      <c r="C182" s="2">
        <f t="shared" si="9"/>
        <v>49.8</v>
      </c>
      <c r="D182" s="2">
        <f t="shared" si="10"/>
        <v>2.706521739</v>
      </c>
    </row>
    <row r="183">
      <c r="A183" s="2">
        <f t="shared" si="2"/>
        <v>9.25</v>
      </c>
      <c r="B183" s="3">
        <f t="shared" si="8"/>
        <v>55.2</v>
      </c>
      <c r="C183" s="2">
        <f t="shared" si="9"/>
        <v>50.1</v>
      </c>
      <c r="D183" s="2">
        <f t="shared" si="10"/>
        <v>2.708108108</v>
      </c>
    </row>
    <row r="184">
      <c r="A184" s="2">
        <f t="shared" si="2"/>
        <v>9.3</v>
      </c>
      <c r="B184" s="3">
        <f t="shared" si="8"/>
        <v>55.5</v>
      </c>
      <c r="C184" s="2">
        <f t="shared" si="9"/>
        <v>50.4</v>
      </c>
      <c r="D184" s="2">
        <f t="shared" si="10"/>
        <v>2.709677419</v>
      </c>
    </row>
    <row r="185">
      <c r="A185" s="2">
        <f t="shared" si="2"/>
        <v>9.35</v>
      </c>
      <c r="B185" s="3">
        <f t="shared" si="8"/>
        <v>55.8</v>
      </c>
      <c r="C185" s="2">
        <f t="shared" si="9"/>
        <v>50.7</v>
      </c>
      <c r="D185" s="2">
        <f t="shared" si="10"/>
        <v>2.711229947</v>
      </c>
    </row>
    <row r="186">
      <c r="A186" s="2">
        <f t="shared" si="2"/>
        <v>9.4</v>
      </c>
      <c r="B186" s="3">
        <f t="shared" si="8"/>
        <v>56.1</v>
      </c>
      <c r="C186" s="2">
        <f t="shared" si="9"/>
        <v>51</v>
      </c>
      <c r="D186" s="2">
        <f t="shared" si="10"/>
        <v>2.712765957</v>
      </c>
    </row>
    <row r="187">
      <c r="A187" s="2">
        <f t="shared" si="2"/>
        <v>9.45</v>
      </c>
      <c r="B187" s="3">
        <f t="shared" si="8"/>
        <v>56.4</v>
      </c>
      <c r="C187" s="2">
        <f t="shared" si="9"/>
        <v>51.3</v>
      </c>
      <c r="D187" s="2">
        <f t="shared" si="10"/>
        <v>2.714285714</v>
      </c>
    </row>
    <row r="188">
      <c r="A188" s="2">
        <f t="shared" si="2"/>
        <v>9.5</v>
      </c>
      <c r="B188" s="3">
        <f t="shared" si="8"/>
        <v>56.7</v>
      </c>
      <c r="C188" s="2">
        <f t="shared" si="9"/>
        <v>51.6</v>
      </c>
      <c r="D188" s="2">
        <f t="shared" si="10"/>
        <v>2.715789474</v>
      </c>
    </row>
    <row r="189">
      <c r="A189" s="2">
        <f t="shared" si="2"/>
        <v>9.55</v>
      </c>
      <c r="B189" s="3">
        <f t="shared" si="8"/>
        <v>57</v>
      </c>
      <c r="C189" s="2">
        <f t="shared" si="9"/>
        <v>51.9</v>
      </c>
      <c r="D189" s="2">
        <f t="shared" si="10"/>
        <v>2.717277487</v>
      </c>
    </row>
    <row r="190">
      <c r="A190" s="2">
        <f t="shared" si="2"/>
        <v>9.6</v>
      </c>
      <c r="B190" s="3">
        <f t="shared" si="8"/>
        <v>57.3</v>
      </c>
      <c r="C190" s="2">
        <f t="shared" si="9"/>
        <v>52.2</v>
      </c>
      <c r="D190" s="2">
        <f t="shared" si="10"/>
        <v>2.71875</v>
      </c>
    </row>
    <row r="191">
      <c r="A191" s="2">
        <f t="shared" si="2"/>
        <v>9.65</v>
      </c>
      <c r="B191" s="3">
        <f t="shared" si="8"/>
        <v>57.6</v>
      </c>
      <c r="C191" s="2">
        <f t="shared" si="9"/>
        <v>52.5</v>
      </c>
      <c r="D191" s="2">
        <f t="shared" si="10"/>
        <v>2.720207254</v>
      </c>
    </row>
    <row r="192">
      <c r="A192" s="2">
        <f t="shared" si="2"/>
        <v>9.7</v>
      </c>
      <c r="B192" s="3">
        <f t="shared" si="8"/>
        <v>57.9</v>
      </c>
      <c r="C192" s="2">
        <f t="shared" si="9"/>
        <v>52.8</v>
      </c>
      <c r="D192" s="2">
        <f t="shared" si="10"/>
        <v>2.721649485</v>
      </c>
    </row>
    <row r="193">
      <c r="A193" s="2">
        <f t="shared" si="2"/>
        <v>9.75</v>
      </c>
      <c r="B193" s="3">
        <f t="shared" si="8"/>
        <v>58.2</v>
      </c>
      <c r="C193" s="2">
        <f t="shared" si="9"/>
        <v>53.1</v>
      </c>
      <c r="D193" s="2">
        <f t="shared" si="10"/>
        <v>2.723076923</v>
      </c>
    </row>
    <row r="194">
      <c r="A194" s="2">
        <f t="shared" si="2"/>
        <v>9.8</v>
      </c>
      <c r="B194" s="3">
        <f t="shared" si="8"/>
        <v>58.5</v>
      </c>
      <c r="C194" s="2">
        <f t="shared" si="9"/>
        <v>53.4</v>
      </c>
      <c r="D194" s="2">
        <f t="shared" si="10"/>
        <v>2.724489796</v>
      </c>
    </row>
    <row r="195">
      <c r="A195" s="2">
        <f t="shared" si="2"/>
        <v>9.85</v>
      </c>
      <c r="B195" s="3">
        <f t="shared" si="8"/>
        <v>58.8</v>
      </c>
      <c r="C195" s="2">
        <f t="shared" si="9"/>
        <v>53.7</v>
      </c>
      <c r="D195" s="2">
        <f t="shared" si="10"/>
        <v>2.725888325</v>
      </c>
    </row>
    <row r="196">
      <c r="A196" s="2">
        <f t="shared" si="2"/>
        <v>9.9</v>
      </c>
      <c r="B196" s="3">
        <f t="shared" si="8"/>
        <v>59.1</v>
      </c>
      <c r="C196" s="2">
        <f t="shared" si="9"/>
        <v>54</v>
      </c>
      <c r="D196" s="2">
        <f t="shared" si="10"/>
        <v>2.727272727</v>
      </c>
    </row>
    <row r="197">
      <c r="A197" s="2">
        <f t="shared" si="2"/>
        <v>9.95</v>
      </c>
      <c r="B197" s="3">
        <f t="shared" si="8"/>
        <v>59.4</v>
      </c>
      <c r="C197" s="2">
        <f t="shared" si="9"/>
        <v>54.3</v>
      </c>
      <c r="D197" s="2">
        <f t="shared" si="10"/>
        <v>2.728643216</v>
      </c>
    </row>
    <row r="198">
      <c r="A198" s="2">
        <f t="shared" si="2"/>
        <v>10</v>
      </c>
      <c r="B198" s="3">
        <f t="shared" si="8"/>
        <v>59.7</v>
      </c>
      <c r="C198" s="2">
        <f t="shared" si="9"/>
        <v>54.6</v>
      </c>
      <c r="D198" s="2">
        <f t="shared" si="10"/>
        <v>2.73</v>
      </c>
    </row>
    <row r="199">
      <c r="B199" s="3"/>
    </row>
    <row r="200">
      <c r="B200" s="3"/>
    </row>
  </sheetData>
  <drawing r:id="rId1"/>
</worksheet>
</file>